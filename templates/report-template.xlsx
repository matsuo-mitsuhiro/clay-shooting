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G:\共有ドライブ\03-01-営業\01_案件管理\99.その他\クレー射撃\"/>
    </mc:Choice>
  </mc:AlternateContent>
  <xr:revisionPtr revIDLastSave="0" documentId="13_ncr:1_{6F3A46D5-11EF-4589-9056-1C4D87B151A3}" xr6:coauthVersionLast="47" xr6:coauthVersionMax="47" xr10:uidLastSave="{00000000-0000-0000-0000-000000000000}"/>
  <bookViews>
    <workbookView xWindow="8685" yWindow="1875" windowWidth="19440" windowHeight="12120" xr2:uid="{00000000-000D-0000-FFFF-FFFF00000000}"/>
  </bookViews>
  <sheets>
    <sheet name="10JCSAルール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" i="1" l="1"/>
  <c r="Q29" i="1" l="1"/>
  <c r="K18" i="1"/>
  <c r="G18" i="1"/>
  <c r="O17" i="1"/>
  <c r="O16" i="1"/>
  <c r="O15" i="1"/>
  <c r="O14" i="1"/>
  <c r="O18" i="1" l="1"/>
  <c r="O31" i="1" s="1"/>
  <c r="O32" i="1" s="1"/>
  <c r="Q32" i="1" s="1"/>
  <c r="Q31" i="1" l="1"/>
  <c r="Q34" i="1" s="1"/>
  <c r="Q35" i="1" s="1"/>
</calcChain>
</file>

<file path=xl/sharedStrings.xml><?xml version="1.0" encoding="utf-8"?>
<sst xmlns="http://schemas.openxmlformats.org/spreadsheetml/2006/main" count="120" uniqueCount="88">
  <si>
    <t>（兼奨励金及び参加料納付報告書）</t>
    <rPh sb="1" eb="2">
      <t>ケン</t>
    </rPh>
    <rPh sb="2" eb="5">
      <t>ショウレイキン</t>
    </rPh>
    <rPh sb="5" eb="6">
      <t>オヨ</t>
    </rPh>
    <rPh sb="7" eb="10">
      <t>サンカリョウ</t>
    </rPh>
    <rPh sb="10" eb="12">
      <t>ノウフ</t>
    </rPh>
    <rPh sb="12" eb="15">
      <t>ホウコクショ</t>
    </rPh>
    <phoneticPr fontId="4"/>
  </si>
  <si>
    <t>※注：大会公認料及び記録表、報告書等は大会終了後2週間以内に報告頂きますようお願い致します。</t>
    <rPh sb="30" eb="32">
      <t>ホウコク</t>
    </rPh>
    <rPh sb="32" eb="33">
      <t>イタダ</t>
    </rPh>
    <rPh sb="39" eb="40">
      <t>ネガ</t>
    </rPh>
    <rPh sb="41" eb="42">
      <t>イタ</t>
    </rPh>
    <phoneticPr fontId="4"/>
  </si>
  <si>
    <t xml:space="preserve">       未納の大会は公式大会と認められず、成績も公認されません。</t>
    <rPh sb="7" eb="9">
      <t>ミノウ</t>
    </rPh>
    <phoneticPr fontId="4"/>
  </si>
  <si>
    <t>　◎下記の通り大会が終了しましたので報告いたします。</t>
    <phoneticPr fontId="4"/>
  </si>
  <si>
    <t>報告日</t>
    <rPh sb="0" eb="2">
      <t>ホウコク</t>
    </rPh>
    <rPh sb="2" eb="3">
      <t>ビ</t>
    </rPh>
    <phoneticPr fontId="4"/>
  </si>
  <si>
    <t>大　会　名</t>
  </si>
  <si>
    <t>クレー射撃協会（連盟）・部会</t>
    <rPh sb="12" eb="14">
      <t>ブカイ</t>
    </rPh>
    <phoneticPr fontId="4"/>
  </si>
  <si>
    <t xml:space="preserve"> 大会開催日</t>
  </si>
  <si>
    <t>会　 長</t>
    <rPh sb="0" eb="1">
      <t>カイ</t>
    </rPh>
    <rPh sb="3" eb="4">
      <t>チョウ</t>
    </rPh>
    <phoneticPr fontId="4"/>
  </si>
  <si>
    <t>大会会場名</t>
  </si>
  <si>
    <t>射　撃　場</t>
  </si>
  <si>
    <t>使 用 クレー名</t>
  </si>
  <si>
    <t>ルール</t>
    <phoneticPr fontId="4"/>
  </si>
  <si>
    <t>審 査 委 員 名</t>
  </si>
  <si>
    <t>種　　　目</t>
  </si>
  <si>
    <t>記録責任者名</t>
  </si>
  <si>
    <t>ク　ラ　ス</t>
  </si>
  <si>
    <t>セット責任者名</t>
  </si>
  <si>
    <t>参加　　　　　　人数</t>
    <rPh sb="8" eb="9">
      <t>ニン</t>
    </rPh>
    <phoneticPr fontId="4"/>
  </si>
  <si>
    <t>トラップ</t>
  </si>
  <si>
    <t>スキート</t>
  </si>
  <si>
    <t>合計人数</t>
    <rPh sb="0" eb="1">
      <t>ゴウ</t>
    </rPh>
    <rPh sb="2" eb="4">
      <t>ニンズウ</t>
    </rPh>
    <phoneticPr fontId="4"/>
  </si>
  <si>
    <t>備　　考</t>
  </si>
  <si>
    <t>A ク ラ ス</t>
  </si>
  <si>
    <t>B ク ラ ス</t>
  </si>
  <si>
    <t>C ク ラ ス</t>
    <phoneticPr fontId="4"/>
  </si>
  <si>
    <t>な　 　し</t>
  </si>
  <si>
    <t>　合　計</t>
    <rPh sb="1" eb="2">
      <t>ゴウ</t>
    </rPh>
    <phoneticPr fontId="4"/>
  </si>
  <si>
    <t>奨　励　金　　　　　　　　　　　　　獲得者リスト</t>
    <phoneticPr fontId="4"/>
  </si>
  <si>
    <t>奨　励　金　　　　　　　配布明細</t>
  </si>
  <si>
    <t xml:space="preserve"> 　５０ストレート</t>
    <phoneticPr fontId="4"/>
  </si>
  <si>
    <t>￥ ２０，０００．－</t>
    <phoneticPr fontId="4"/>
  </si>
  <si>
    <t>※ストレート獲得者には奨励金の</t>
  </si>
  <si>
    <t>　７５ストレート</t>
  </si>
  <si>
    <t>￥ ４０，０００．－</t>
    <phoneticPr fontId="4"/>
  </si>
  <si>
    <t>　配布と、下記欄へ署名と受領印</t>
    <phoneticPr fontId="4"/>
  </si>
  <si>
    <t>１００ストレート</t>
  </si>
  <si>
    <t>￥ ８０，０００．－</t>
    <phoneticPr fontId="4"/>
  </si>
  <si>
    <t>　　　　　を頂いてください。</t>
    <phoneticPr fontId="4"/>
  </si>
  <si>
    <t>No</t>
  </si>
  <si>
    <t>種目</t>
  </si>
  <si>
    <t>５０・７５・１００　　　　　　　ストレート</t>
    <phoneticPr fontId="4"/>
  </si>
  <si>
    <t>氏　名</t>
  </si>
  <si>
    <t>会員番号</t>
  </si>
  <si>
    <t>所　属</t>
  </si>
  <si>
    <t>奨励金獲得金額</t>
  </si>
  <si>
    <t>受領印</t>
  </si>
  <si>
    <t>ストレート</t>
  </si>
  <si>
    <t>円</t>
  </si>
  <si>
    <t>　</t>
  </si>
  <si>
    <t>≪本　部　納　入　金≫</t>
    <phoneticPr fontId="4"/>
  </si>
  <si>
    <t>①</t>
  </si>
  <si>
    <t>　　公 式 大 会 公 認 料</t>
    <phoneticPr fontId="4"/>
  </si>
  <si>
    <t xml:space="preserve"> 円</t>
    <phoneticPr fontId="4"/>
  </si>
  <si>
    <r>
      <rPr>
        <b/>
        <sz val="12"/>
        <color indexed="8"/>
        <rFont val="ＭＳ Ｐ明朝"/>
        <family val="1"/>
        <charset val="128"/>
      </rPr>
      <t>③</t>
    </r>
    <r>
      <rPr>
        <b/>
        <sz val="11"/>
        <color indexed="8"/>
        <rFont val="ＭＳ Ｐ明朝"/>
        <family val="1"/>
        <charset val="128"/>
      </rPr>
      <t>合　計</t>
    </r>
    <rPh sb="1" eb="2">
      <t>ゴウ</t>
    </rPh>
    <rPh sb="3" eb="4">
      <t>ケイ</t>
    </rPh>
    <phoneticPr fontId="4"/>
  </si>
  <si>
    <t>②</t>
  </si>
  <si>
    <t>　　射  撃  場  広  告  代</t>
    <phoneticPr fontId="4"/>
  </si>
  <si>
    <t>（①＋②）</t>
    <phoneticPr fontId="4"/>
  </si>
  <si>
    <t>④</t>
  </si>
  <si>
    <t>　　奨 励 金 に 伴 う 納 付 金　</t>
    <phoneticPr fontId="4"/>
  </si>
  <si>
    <t>＠１，０００円</t>
  </si>
  <si>
    <t>×</t>
    <phoneticPr fontId="4"/>
  </si>
  <si>
    <t>名＝</t>
    <rPh sb="0" eb="1">
      <t>メイ</t>
    </rPh>
    <phoneticPr fontId="4"/>
  </si>
  <si>
    <t>⑤</t>
  </si>
  <si>
    <t>　　参 加 料 に 伴 う 納 付 金　</t>
    <rPh sb="2" eb="3">
      <t>サン</t>
    </rPh>
    <rPh sb="4" eb="5">
      <t>カ</t>
    </rPh>
    <rPh sb="6" eb="7">
      <t>リョウ</t>
    </rPh>
    <phoneticPr fontId="4"/>
  </si>
  <si>
    <t>円</t>
    <rPh sb="0" eb="1">
      <t>エン</t>
    </rPh>
    <phoneticPr fontId="4"/>
  </si>
  <si>
    <t>⑥</t>
  </si>
  <si>
    <t>　　奨 励 金 獲 得 者 へ 支 払 合 計 金 額</t>
    <rPh sb="2" eb="3">
      <t>ススム</t>
    </rPh>
    <rPh sb="4" eb="5">
      <t>ツトム</t>
    </rPh>
    <rPh sb="6" eb="7">
      <t>キン</t>
    </rPh>
    <rPh sb="8" eb="9">
      <t>エ</t>
    </rPh>
    <rPh sb="10" eb="11">
      <t>エ</t>
    </rPh>
    <rPh sb="12" eb="13">
      <t>シャ</t>
    </rPh>
    <rPh sb="16" eb="17">
      <t>シ</t>
    </rPh>
    <rPh sb="18" eb="19">
      <t>バライ</t>
    </rPh>
    <rPh sb="20" eb="21">
      <t>ゴウ</t>
    </rPh>
    <rPh sb="22" eb="23">
      <t>ケイ</t>
    </rPh>
    <rPh sb="24" eb="25">
      <t>キン</t>
    </rPh>
    <rPh sb="26" eb="27">
      <t>ガク</t>
    </rPh>
    <phoneticPr fontId="4"/>
  </si>
  <si>
    <t>名分</t>
    <rPh sb="0" eb="2">
      <t>メイブン</t>
    </rPh>
    <phoneticPr fontId="4"/>
  </si>
  <si>
    <t>⑦</t>
  </si>
  <si>
    <t>　　差 引 本 部 納 付 金 額　　　　　 　</t>
    <phoneticPr fontId="4"/>
  </si>
  <si>
    <t>　（（④　+　⑤）-⑥　＝　⑦　）</t>
    <phoneticPr fontId="4"/>
  </si>
  <si>
    <t>⑧</t>
    <phoneticPr fontId="4"/>
  </si>
  <si>
    <t>　　本　部　納　入　合　計　金　額　　</t>
    <phoneticPr fontId="4"/>
  </si>
  <si>
    <t>（　③　＋　⑦　）</t>
    <phoneticPr fontId="4"/>
  </si>
  <si>
    <t>＜摘　要＞</t>
  </si>
  <si>
    <t>（一社）日本クレー射撃協会</t>
    <rPh sb="1" eb="2">
      <t>イチ</t>
    </rPh>
    <phoneticPr fontId="4"/>
  </si>
  <si>
    <t>（受 付 印）</t>
  </si>
  <si>
    <t>和歌山県</t>
    <rPh sb="0" eb="3">
      <t>ワカヤマ</t>
    </rPh>
    <rPh sb="3" eb="4">
      <t>ケン</t>
    </rPh>
    <phoneticPr fontId="3"/>
  </si>
  <si>
    <t>大阪総合</t>
    <rPh sb="0" eb="2">
      <t>オオサカ</t>
    </rPh>
    <rPh sb="2" eb="4">
      <t>ソウゴウ</t>
    </rPh>
    <phoneticPr fontId="4"/>
  </si>
  <si>
    <t>西日本</t>
    <rPh sb="0" eb="1">
      <t>ニシ</t>
    </rPh>
    <rPh sb="1" eb="3">
      <t>ニホン</t>
    </rPh>
    <phoneticPr fontId="4"/>
  </si>
  <si>
    <t>宮本　昌幸</t>
    <rPh sb="0" eb="2">
      <t>ミヤモト</t>
    </rPh>
    <rPh sb="3" eb="5">
      <t>マサユキ</t>
    </rPh>
    <phoneticPr fontId="3"/>
  </si>
  <si>
    <t>トラップ　・　スキート</t>
  </si>
  <si>
    <t>名</t>
    <phoneticPr fontId="4"/>
  </si>
  <si>
    <t>なし</t>
  </si>
  <si>
    <t>第1次和歌山公式</t>
    <rPh sb="0" eb="1">
      <t>ダイ</t>
    </rPh>
    <rPh sb="2" eb="3">
      <t>ジ</t>
    </rPh>
    <rPh sb="3" eb="6">
      <t>ワカヤマ</t>
    </rPh>
    <rPh sb="6" eb="8">
      <t>コウシキ</t>
    </rPh>
    <phoneticPr fontId="3"/>
  </si>
  <si>
    <t>≪　2026年度　地方公式大会報告書　≫</t>
    <rPh sb="6" eb="7">
      <t>ネン</t>
    </rPh>
    <rPh sb="7" eb="8">
      <t>ド</t>
    </rPh>
    <phoneticPr fontId="4"/>
  </si>
  <si>
    <t>ISSF（地方公式版）</t>
    <rPh sb="5" eb="10">
      <t>チホウコウシキバン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</si>
</sst>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 &quot;\ mm&quot;月 &quot;\ dd\ &quot;日&quot;"/>
  </numFmts>
  <fonts count="20" x14ac:knownFonts="1">
    <font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b/>
      <sz val="18"/>
      <color theme="1"/>
      <name val="ＭＳ Ｐ明朝"/>
      <family val="1"/>
      <charset val="128"/>
    </font>
    <font>
      <sz val="6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b/>
      <sz val="14"/>
      <color theme="1"/>
      <name val="ＭＳ Ｐゴシック"/>
      <family val="3"/>
      <charset val="128"/>
      <scheme val="minor"/>
    </font>
    <font>
      <b/>
      <sz val="11"/>
      <color rgb="FFFF0000"/>
      <name val="ＭＳ Ｐ明朝"/>
      <family val="1"/>
      <charset val="128"/>
    </font>
    <font>
      <sz val="11"/>
      <color theme="1"/>
      <name val="ＭＳ Ｐ明朝"/>
      <family val="1"/>
      <charset val="128"/>
    </font>
    <font>
      <b/>
      <sz val="12"/>
      <color theme="1"/>
      <name val="ＭＳ Ｐ明朝"/>
      <family val="1"/>
      <charset val="128"/>
    </font>
    <font>
      <b/>
      <sz val="12"/>
      <color theme="1"/>
      <name val="ＭＳ Ｐゴシック"/>
      <family val="3"/>
      <charset val="128"/>
      <scheme val="minor"/>
    </font>
    <font>
      <b/>
      <sz val="11"/>
      <color theme="1"/>
      <name val="ＭＳ Ｐ明朝"/>
      <family val="1"/>
      <charset val="128"/>
    </font>
    <font>
      <b/>
      <sz val="10"/>
      <color rgb="FFFF0000"/>
      <name val="ＭＳ Ｐ明朝"/>
      <family val="1"/>
      <charset val="128"/>
    </font>
    <font>
      <sz val="9"/>
      <color theme="1"/>
      <name val="ＭＳ Ｐ明朝"/>
      <family val="1"/>
      <charset val="128"/>
    </font>
    <font>
      <b/>
      <sz val="12"/>
      <color indexed="8"/>
      <name val="ＭＳ Ｐ明朝"/>
      <family val="1"/>
      <charset val="128"/>
    </font>
    <font>
      <b/>
      <sz val="11"/>
      <color indexed="8"/>
      <name val="ＭＳ Ｐ明朝"/>
      <family val="1"/>
      <charset val="128"/>
    </font>
    <font>
      <sz val="10"/>
      <color theme="1"/>
      <name val="ＭＳ Ｐ明朝"/>
      <family val="1"/>
      <charset val="128"/>
    </font>
    <font>
      <sz val="12"/>
      <color theme="1"/>
      <name val="ＭＳ Ｐ明朝"/>
      <family val="1"/>
      <charset val="128"/>
    </font>
    <font>
      <sz val="14"/>
      <color theme="1"/>
      <name val="ＭＳ Ｐ明朝"/>
      <family val="1"/>
      <charset val="128"/>
    </font>
    <font>
      <sz val="11"/>
      <name val="ＭＳ Ｐゴシック"/>
      <family val="3"/>
      <charset val="128"/>
    </font>
    <font>
      <b/>
      <sz val="9"/>
      <color theme="1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92">
    <border>
      <left/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hair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hair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8" fillId="0" borderId="0">
      <alignment vertical="center"/>
    </xf>
  </cellStyleXfs>
  <cellXfs count="204">
    <xf numFmtId="0" fontId="0" fillId="0" borderId="0" xfId="0">
      <alignment vertical="center"/>
    </xf>
    <xf numFmtId="0" fontId="7" fillId="0" borderId="0" xfId="0" applyFont="1" applyAlignment="1">
      <alignment horizontal="left" vertical="center"/>
    </xf>
    <xf numFmtId="0" fontId="7" fillId="0" borderId="13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43" xfId="0" applyFont="1" applyBorder="1" applyAlignment="1">
      <alignment horizontal="center" vertical="center"/>
    </xf>
    <xf numFmtId="0" fontId="7" fillId="0" borderId="4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 applyProtection="1">
      <alignment horizontal="center" vertical="center"/>
      <protection locked="0"/>
    </xf>
    <xf numFmtId="0" fontId="8" fillId="0" borderId="13" xfId="0" applyFont="1" applyBorder="1" applyProtection="1">
      <alignment vertical="center"/>
      <protection locked="0"/>
    </xf>
    <xf numFmtId="0" fontId="7" fillId="0" borderId="12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8" fillId="0" borderId="18" xfId="0" applyFont="1" applyBorder="1" applyProtection="1">
      <alignment vertical="center"/>
      <protection locked="0"/>
    </xf>
    <xf numFmtId="0" fontId="7" fillId="0" borderId="20" xfId="0" applyFont="1" applyBorder="1" applyAlignment="1">
      <alignment horizontal="center" vertical="center"/>
    </xf>
    <xf numFmtId="0" fontId="8" fillId="0" borderId="50" xfId="0" applyFont="1" applyBorder="1" applyAlignment="1">
      <alignment horizontal="center" vertical="center"/>
    </xf>
    <xf numFmtId="0" fontId="7" fillId="0" borderId="52" xfId="0" applyFont="1" applyBorder="1">
      <alignment vertical="center"/>
    </xf>
    <xf numFmtId="0" fontId="8" fillId="0" borderId="57" xfId="0" applyFont="1" applyBorder="1" applyAlignment="1">
      <alignment horizontal="center" vertical="center"/>
    </xf>
    <xf numFmtId="0" fontId="7" fillId="0" borderId="59" xfId="0" applyFont="1" applyBorder="1">
      <alignment vertical="center"/>
    </xf>
    <xf numFmtId="0" fontId="8" fillId="0" borderId="65" xfId="0" applyFont="1" applyBorder="1" applyAlignment="1">
      <alignment horizontal="center" vertical="center"/>
    </xf>
    <xf numFmtId="0" fontId="7" fillId="0" borderId="51" xfId="0" applyFont="1" applyBorder="1" applyAlignment="1">
      <alignment horizontal="center" vertical="center"/>
    </xf>
    <xf numFmtId="0" fontId="7" fillId="0" borderId="70" xfId="0" applyFont="1" applyBorder="1" applyAlignment="1">
      <alignment horizontal="center" vertical="center"/>
    </xf>
    <xf numFmtId="0" fontId="8" fillId="0" borderId="71" xfId="0" applyFont="1" applyBorder="1" applyAlignment="1">
      <alignment horizontal="center" vertical="center"/>
    </xf>
    <xf numFmtId="0" fontId="7" fillId="0" borderId="46" xfId="0" applyFont="1" applyBorder="1" applyAlignment="1">
      <alignment horizontal="center" vertical="center"/>
    </xf>
    <xf numFmtId="0" fontId="7" fillId="0" borderId="73" xfId="0" applyFont="1" applyBorder="1" applyAlignment="1">
      <alignment horizontal="center" vertical="center"/>
    </xf>
    <xf numFmtId="0" fontId="8" fillId="0" borderId="74" xfId="0" applyFont="1" applyBorder="1" applyAlignment="1">
      <alignment horizontal="center" vertical="center"/>
    </xf>
    <xf numFmtId="0" fontId="8" fillId="0" borderId="9" xfId="0" applyFont="1" applyBorder="1" applyAlignment="1" applyProtection="1">
      <alignment horizontal="center" vertical="center"/>
      <protection locked="0"/>
    </xf>
    <xf numFmtId="0" fontId="7" fillId="0" borderId="9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76" xfId="0" applyFont="1" applyBorder="1" applyAlignment="1">
      <alignment horizontal="center" vertical="center"/>
    </xf>
    <xf numFmtId="0" fontId="7" fillId="0" borderId="81" xfId="0" applyFont="1" applyBorder="1" applyAlignment="1">
      <alignment horizontal="center" vertical="center"/>
    </xf>
    <xf numFmtId="0" fontId="8" fillId="0" borderId="82" xfId="0" applyFont="1" applyBorder="1" applyAlignment="1">
      <alignment horizontal="center" vertical="center"/>
    </xf>
    <xf numFmtId="0" fontId="7" fillId="0" borderId="87" xfId="0" applyFont="1" applyBorder="1" applyAlignment="1">
      <alignment horizontal="center" vertical="center"/>
    </xf>
    <xf numFmtId="0" fontId="7" fillId="0" borderId="2" xfId="0" applyFont="1" applyBorder="1">
      <alignment vertical="center"/>
    </xf>
    <xf numFmtId="0" fontId="7" fillId="0" borderId="3" xfId="0" applyFont="1" applyBorder="1">
      <alignment vertical="center"/>
    </xf>
    <xf numFmtId="0" fontId="7" fillId="0" borderId="15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9" fillId="0" borderId="51" xfId="0" applyFont="1" applyBorder="1" applyAlignment="1" applyProtection="1">
      <alignment horizontal="center" vertical="center"/>
      <protection locked="0"/>
    </xf>
    <xf numFmtId="0" fontId="9" fillId="0" borderId="46" xfId="0" applyFont="1" applyBorder="1" applyAlignment="1" applyProtection="1">
      <alignment horizontal="center" vertical="center"/>
      <protection locked="0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8" fillId="0" borderId="7" xfId="0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 applyProtection="1">
      <alignment horizontal="center" vertical="center"/>
      <protection locked="0"/>
    </xf>
    <xf numFmtId="0" fontId="8" fillId="0" borderId="91" xfId="0" applyFont="1" applyBorder="1" applyAlignment="1" applyProtection="1">
      <alignment horizontal="center" vertical="center"/>
      <protection locked="0"/>
    </xf>
    <xf numFmtId="0" fontId="8" fillId="0" borderId="8" xfId="0" applyFont="1" applyBorder="1" applyAlignment="1" applyProtection="1">
      <alignment horizontal="center" vertical="center"/>
      <protection locked="0"/>
    </xf>
    <xf numFmtId="0" fontId="8" fillId="0" borderId="9" xfId="0" applyFont="1" applyBorder="1" applyAlignment="1" applyProtection="1">
      <alignment horizontal="center" vertical="center"/>
      <protection locked="0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14" fontId="17" fillId="0" borderId="9" xfId="0" applyNumberFormat="1" applyFont="1" applyBorder="1" applyAlignment="1" applyProtection="1">
      <alignment horizontal="center" vertical="center"/>
      <protection locked="0"/>
    </xf>
    <xf numFmtId="14" fontId="17" fillId="0" borderId="12" xfId="0" applyNumberFormat="1" applyFont="1" applyBorder="1" applyAlignment="1" applyProtection="1">
      <alignment horizontal="center" vertical="center"/>
      <protection locked="0"/>
    </xf>
    <xf numFmtId="0" fontId="7" fillId="0" borderId="1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76" fontId="17" fillId="0" borderId="3" xfId="0" applyNumberFormat="1" applyFont="1" applyBorder="1" applyAlignment="1">
      <alignment horizontal="center" vertical="center"/>
    </xf>
    <xf numFmtId="176" fontId="17" fillId="0" borderId="4" xfId="0" applyNumberFormat="1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3" xfId="0" applyFont="1" applyBorder="1" applyAlignment="1" applyProtection="1">
      <alignment horizontal="center" vertical="center"/>
      <protection locked="0"/>
    </xf>
    <xf numFmtId="0" fontId="0" fillId="0" borderId="9" xfId="0" applyBorder="1" applyProtection="1">
      <alignment vertical="center"/>
      <protection locked="0"/>
    </xf>
    <xf numFmtId="0" fontId="0" fillId="0" borderId="12" xfId="0" applyBorder="1" applyProtection="1">
      <alignment vertical="center"/>
      <protection locked="0"/>
    </xf>
    <xf numFmtId="0" fontId="7" fillId="0" borderId="9" xfId="0" applyFont="1" applyBorder="1" applyAlignment="1" applyProtection="1">
      <alignment horizontal="center" vertical="center"/>
      <protection locked="0"/>
    </xf>
    <xf numFmtId="0" fontId="7" fillId="0" borderId="10" xfId="0" applyFont="1" applyBorder="1" applyAlignment="1" applyProtection="1">
      <alignment horizontal="center" vertical="center"/>
      <protection locked="0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 applyProtection="1">
      <alignment horizontal="center" vertical="center"/>
      <protection locked="0"/>
    </xf>
    <xf numFmtId="0" fontId="7" fillId="0" borderId="19" xfId="0" applyFont="1" applyBorder="1" applyAlignment="1" applyProtection="1">
      <alignment horizontal="center" vertical="center"/>
      <protection locked="0"/>
    </xf>
    <xf numFmtId="0" fontId="7" fillId="0" borderId="20" xfId="0" applyFont="1" applyBorder="1" applyAlignment="1" applyProtection="1">
      <alignment horizontal="center" vertical="center"/>
      <protection locked="0"/>
    </xf>
    <xf numFmtId="0" fontId="7" fillId="0" borderId="21" xfId="0" applyFont="1" applyBorder="1" applyAlignment="1" applyProtection="1">
      <alignment horizontal="center" vertical="center"/>
      <protection locked="0"/>
    </xf>
    <xf numFmtId="0" fontId="16" fillId="0" borderId="13" xfId="0" applyFont="1" applyBorder="1" applyAlignment="1" applyProtection="1">
      <alignment horizontal="center" vertical="center"/>
      <protection locked="0"/>
    </xf>
    <xf numFmtId="0" fontId="16" fillId="0" borderId="9" xfId="0" applyFont="1" applyBorder="1" applyAlignment="1" applyProtection="1">
      <alignment horizontal="center" vertical="center"/>
      <protection locked="0"/>
    </xf>
    <xf numFmtId="0" fontId="19" fillId="0" borderId="13" xfId="0" applyFont="1" applyBorder="1" applyAlignment="1" applyProtection="1">
      <alignment horizontal="center" vertical="center"/>
      <protection locked="0"/>
    </xf>
    <xf numFmtId="0" fontId="19" fillId="0" borderId="9" xfId="0" applyFont="1" applyBorder="1" applyAlignment="1" applyProtection="1">
      <alignment horizontal="center" vertical="center"/>
      <protection locked="0"/>
    </xf>
    <xf numFmtId="0" fontId="0" fillId="0" borderId="15" xfId="0" applyBorder="1" applyAlignment="1" applyProtection="1">
      <alignment horizontal="left" vertical="center"/>
      <protection locked="0"/>
    </xf>
    <xf numFmtId="0" fontId="0" fillId="0" borderId="25" xfId="0" applyBorder="1" applyAlignment="1" applyProtection="1">
      <alignment horizontal="left" vertical="center"/>
      <protection locked="0"/>
    </xf>
    <xf numFmtId="0" fontId="8" fillId="0" borderId="15" xfId="0" applyFont="1" applyBorder="1" applyAlignment="1" applyProtection="1">
      <alignment horizontal="center" vertical="center"/>
      <protection locked="0"/>
    </xf>
    <xf numFmtId="0" fontId="9" fillId="0" borderId="15" xfId="0" applyFont="1" applyBorder="1" applyProtection="1">
      <alignment vertical="center"/>
      <protection locked="0"/>
    </xf>
    <xf numFmtId="0" fontId="8" fillId="0" borderId="15" xfId="0" applyFont="1" applyBorder="1" applyAlignment="1">
      <alignment horizontal="center" vertical="center"/>
    </xf>
    <xf numFmtId="0" fontId="9" fillId="0" borderId="15" xfId="0" applyFont="1" applyBorder="1">
      <alignment vertical="center"/>
    </xf>
    <xf numFmtId="0" fontId="7" fillId="0" borderId="22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0" fontId="7" fillId="0" borderId="27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/>
    </xf>
    <xf numFmtId="0" fontId="0" fillId="0" borderId="23" xfId="0" applyBorder="1">
      <alignment vertical="center"/>
    </xf>
    <xf numFmtId="0" fontId="7" fillId="0" borderId="24" xfId="0" applyFont="1" applyBorder="1" applyAlignment="1">
      <alignment horizontal="center" vertical="center"/>
    </xf>
    <xf numFmtId="0" fontId="0" fillId="0" borderId="27" xfId="0" applyBorder="1" applyAlignment="1" applyProtection="1">
      <alignment horizontal="left" vertical="center"/>
      <protection locked="0"/>
    </xf>
    <xf numFmtId="0" fontId="0" fillId="0" borderId="28" xfId="0" applyBorder="1" applyAlignment="1" applyProtection="1">
      <alignment horizontal="left" vertical="center"/>
      <protection locked="0"/>
    </xf>
    <xf numFmtId="0" fontId="10" fillId="0" borderId="29" xfId="0" applyFont="1" applyBorder="1" applyAlignment="1">
      <alignment horizontal="center" vertical="center" wrapText="1"/>
    </xf>
    <xf numFmtId="0" fontId="10" fillId="0" borderId="30" xfId="0" applyFont="1" applyBorder="1" applyAlignment="1">
      <alignment horizontal="center" vertical="center" wrapText="1"/>
    </xf>
    <xf numFmtId="0" fontId="10" fillId="0" borderId="34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38" xfId="0" applyFont="1" applyBorder="1" applyAlignment="1">
      <alignment horizontal="center" vertical="center" wrapText="1"/>
    </xf>
    <xf numFmtId="0" fontId="10" fillId="0" borderId="39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 wrapText="1"/>
    </xf>
    <xf numFmtId="0" fontId="7" fillId="0" borderId="32" xfId="0" applyFont="1" applyBorder="1" applyAlignment="1">
      <alignment horizontal="center" vertical="center" wrapText="1"/>
    </xf>
    <xf numFmtId="0" fontId="7" fillId="0" borderId="35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36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1" xfId="0" applyFont="1" applyBorder="1" applyAlignment="1">
      <alignment horizontal="center" vertical="center" wrapText="1"/>
    </xf>
    <xf numFmtId="0" fontId="11" fillId="0" borderId="31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33" xfId="0" applyFont="1" applyBorder="1" applyAlignment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0" borderId="40" xfId="0" applyFont="1" applyBorder="1" applyAlignment="1">
      <alignment horizontal="left" vertical="center"/>
    </xf>
    <xf numFmtId="0" fontId="11" fillId="0" borderId="39" xfId="0" applyFont="1" applyBorder="1" applyAlignment="1">
      <alignment horizontal="left" vertical="center"/>
    </xf>
    <xf numFmtId="0" fontId="11" fillId="0" borderId="42" xfId="0" applyFont="1" applyBorder="1" applyAlignment="1">
      <alignment horizontal="left" vertical="center"/>
    </xf>
    <xf numFmtId="0" fontId="7" fillId="0" borderId="27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9" fillId="0" borderId="27" xfId="0" applyFont="1" applyBorder="1">
      <alignment vertical="center"/>
    </xf>
    <xf numFmtId="0" fontId="8" fillId="0" borderId="13" xfId="0" applyFont="1" applyBorder="1" applyAlignment="1" applyProtection="1">
      <alignment horizontal="center" vertical="center"/>
      <protection locked="0"/>
    </xf>
    <xf numFmtId="0" fontId="8" fillId="0" borderId="12" xfId="0" applyFont="1" applyBorder="1" applyAlignment="1" applyProtection="1">
      <alignment horizontal="center" vertical="center"/>
      <protection locked="0"/>
    </xf>
    <xf numFmtId="38" fontId="8" fillId="0" borderId="13" xfId="1" applyFont="1" applyBorder="1" applyProtection="1">
      <alignment vertical="center"/>
      <protection locked="0"/>
    </xf>
    <xf numFmtId="38" fontId="8" fillId="0" borderId="9" xfId="1" applyFont="1" applyBorder="1" applyProtection="1">
      <alignment vertical="center"/>
      <protection locked="0"/>
    </xf>
    <xf numFmtId="0" fontId="0" fillId="0" borderId="13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12" fillId="0" borderId="44" xfId="0" applyFont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/>
    </xf>
    <xf numFmtId="0" fontId="7" fillId="0" borderId="46" xfId="0" applyFont="1" applyBorder="1" applyAlignment="1">
      <alignment horizontal="center" vertical="center"/>
    </xf>
    <xf numFmtId="0" fontId="7" fillId="0" borderId="47" xfId="0" applyFont="1" applyBorder="1" applyAlignment="1">
      <alignment horizontal="center" vertical="center"/>
    </xf>
    <xf numFmtId="0" fontId="7" fillId="0" borderId="44" xfId="0" applyFont="1" applyBorder="1" applyAlignment="1">
      <alignment horizontal="center" vertical="center"/>
    </xf>
    <xf numFmtId="0" fontId="7" fillId="0" borderId="4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8" fillId="0" borderId="18" xfId="0" applyFont="1" applyBorder="1" applyAlignment="1" applyProtection="1">
      <alignment horizontal="center" vertical="center"/>
      <protection locked="0"/>
    </xf>
    <xf numFmtId="0" fontId="8" fillId="0" borderId="19" xfId="0" applyFont="1" applyBorder="1" applyAlignment="1" applyProtection="1">
      <alignment horizontal="center" vertical="center"/>
      <protection locked="0"/>
    </xf>
    <xf numFmtId="0" fontId="8" fillId="0" borderId="20" xfId="0" applyFont="1" applyBorder="1" applyAlignment="1" applyProtection="1">
      <alignment horizontal="center" vertical="center"/>
      <protection locked="0"/>
    </xf>
    <xf numFmtId="38" fontId="8" fillId="0" borderId="18" xfId="1" applyFont="1" applyBorder="1" applyProtection="1">
      <alignment vertical="center"/>
      <protection locked="0"/>
    </xf>
    <xf numFmtId="38" fontId="8" fillId="0" borderId="19" xfId="1" applyFont="1" applyBorder="1" applyProtection="1">
      <alignment vertical="center"/>
      <protection locked="0"/>
    </xf>
    <xf numFmtId="0" fontId="0" fillId="0" borderId="18" xfId="0" applyBorder="1" applyAlignment="1" applyProtection="1">
      <alignment horizontal="center" vertical="center"/>
      <protection locked="0"/>
    </xf>
    <xf numFmtId="0" fontId="0" fillId="0" borderId="21" xfId="0" applyBorder="1" applyAlignment="1" applyProtection="1">
      <alignment horizontal="center" vertical="center"/>
      <protection locked="0"/>
    </xf>
    <xf numFmtId="0" fontId="7" fillId="0" borderId="66" xfId="0" applyFont="1" applyBorder="1" applyAlignment="1">
      <alignment horizontal="left" vertical="center"/>
    </xf>
    <xf numFmtId="0" fontId="7" fillId="0" borderId="67" xfId="0" applyFont="1" applyBorder="1" applyAlignment="1">
      <alignment horizontal="left" vertical="center"/>
    </xf>
    <xf numFmtId="0" fontId="7" fillId="0" borderId="68" xfId="0" applyFont="1" applyBorder="1" applyAlignment="1">
      <alignment horizontal="left" vertical="center"/>
    </xf>
    <xf numFmtId="0" fontId="10" fillId="0" borderId="66" xfId="0" applyFont="1" applyBorder="1" applyAlignment="1">
      <alignment horizontal="center" vertical="center"/>
    </xf>
    <xf numFmtId="0" fontId="10" fillId="0" borderId="67" xfId="0" applyFont="1" applyBorder="1" applyAlignment="1">
      <alignment horizontal="center" vertical="center"/>
    </xf>
    <xf numFmtId="0" fontId="10" fillId="0" borderId="68" xfId="0" applyFont="1" applyBorder="1" applyAlignment="1">
      <alignment horizontal="center" vertical="center"/>
    </xf>
    <xf numFmtId="38" fontId="8" fillId="0" borderId="69" xfId="1" applyFont="1" applyFill="1" applyBorder="1" applyAlignment="1">
      <alignment horizontal="right" vertical="center"/>
    </xf>
    <xf numFmtId="38" fontId="8" fillId="0" borderId="67" xfId="1" applyFont="1" applyFill="1" applyBorder="1" applyAlignment="1">
      <alignment horizontal="right" vertical="center"/>
    </xf>
    <xf numFmtId="38" fontId="8" fillId="0" borderId="68" xfId="1" applyFont="1" applyFill="1" applyBorder="1" applyAlignment="1">
      <alignment horizontal="right" vertical="center"/>
    </xf>
    <xf numFmtId="0" fontId="7" fillId="0" borderId="47" xfId="0" applyFont="1" applyBorder="1" applyAlignment="1">
      <alignment horizontal="left" vertical="center"/>
    </xf>
    <xf numFmtId="0" fontId="7" fillId="0" borderId="44" xfId="0" applyFont="1" applyBorder="1" applyAlignment="1">
      <alignment horizontal="left" vertical="center"/>
    </xf>
    <xf numFmtId="0" fontId="7" fillId="0" borderId="45" xfId="0" applyFont="1" applyBorder="1" applyAlignment="1">
      <alignment horizontal="left" vertical="center"/>
    </xf>
    <xf numFmtId="0" fontId="10" fillId="0" borderId="47" xfId="0" applyFont="1" applyBorder="1" applyAlignment="1">
      <alignment horizontal="center" vertical="center"/>
    </xf>
    <xf numFmtId="0" fontId="10" fillId="0" borderId="44" xfId="0" applyFont="1" applyBorder="1" applyAlignment="1">
      <alignment horizontal="center" vertical="center"/>
    </xf>
    <xf numFmtId="0" fontId="10" fillId="0" borderId="45" xfId="0" applyFont="1" applyBorder="1" applyAlignment="1">
      <alignment horizontal="center" vertical="center"/>
    </xf>
    <xf numFmtId="38" fontId="8" fillId="0" borderId="72" xfId="1" applyFont="1" applyFill="1" applyBorder="1" applyAlignment="1">
      <alignment horizontal="right" vertical="center"/>
    </xf>
    <xf numFmtId="38" fontId="8" fillId="0" borderId="44" xfId="1" applyFont="1" applyFill="1" applyBorder="1" applyAlignment="1">
      <alignment horizontal="right" vertical="center"/>
    </xf>
    <xf numFmtId="38" fontId="8" fillId="0" borderId="45" xfId="1" applyFont="1" applyFill="1" applyBorder="1" applyAlignment="1">
      <alignment horizontal="right" vertical="center"/>
    </xf>
    <xf numFmtId="0" fontId="8" fillId="0" borderId="49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51" xfId="0" applyFont="1" applyBorder="1" applyAlignment="1">
      <alignment horizontal="left" vertical="center"/>
    </xf>
    <xf numFmtId="3" fontId="8" fillId="0" borderId="51" xfId="0" applyNumberFormat="1" applyFont="1" applyBorder="1" applyAlignment="1" applyProtection="1">
      <alignment horizontal="right" vertical="center"/>
      <protection locked="0"/>
    </xf>
    <xf numFmtId="0" fontId="10" fillId="0" borderId="53" xfId="0" applyFont="1" applyBorder="1" applyAlignment="1">
      <alignment horizontal="center" vertical="center"/>
    </xf>
    <xf numFmtId="0" fontId="10" fillId="0" borderId="54" xfId="0" applyFont="1" applyBorder="1" applyAlignment="1">
      <alignment horizontal="center" vertical="center"/>
    </xf>
    <xf numFmtId="38" fontId="8" fillId="0" borderId="55" xfId="1" applyFont="1" applyFill="1" applyBorder="1" applyAlignment="1">
      <alignment horizontal="right" vertical="center"/>
    </xf>
    <xf numFmtId="38" fontId="8" fillId="0" borderId="52" xfId="1" applyFont="1" applyFill="1" applyBorder="1" applyAlignment="1">
      <alignment horizontal="right" vertical="center"/>
    </xf>
    <xf numFmtId="38" fontId="8" fillId="0" borderId="62" xfId="1" applyFont="1" applyFill="1" applyBorder="1" applyAlignment="1">
      <alignment horizontal="right" vertical="center"/>
    </xf>
    <xf numFmtId="38" fontId="8" fillId="0" borderId="63" xfId="1" applyFont="1" applyFill="1" applyBorder="1" applyAlignment="1">
      <alignment horizontal="right" vertical="center"/>
    </xf>
    <xf numFmtId="0" fontId="7" fillId="0" borderId="56" xfId="0" applyFont="1" applyBorder="1" applyAlignment="1">
      <alignment horizontal="center" vertical="center"/>
    </xf>
    <xf numFmtId="0" fontId="7" fillId="0" borderId="64" xfId="0" applyFont="1" applyBorder="1" applyAlignment="1">
      <alignment horizontal="center" vertical="center"/>
    </xf>
    <xf numFmtId="0" fontId="7" fillId="0" borderId="58" xfId="0" applyFont="1" applyBorder="1" applyAlignment="1">
      <alignment horizontal="left" vertical="center"/>
    </xf>
    <xf numFmtId="38" fontId="8" fillId="0" borderId="58" xfId="1" applyFont="1" applyBorder="1" applyAlignment="1">
      <alignment horizontal="right" vertical="center"/>
    </xf>
    <xf numFmtId="0" fontId="10" fillId="0" borderId="60" xfId="0" applyFont="1" applyBorder="1" applyAlignment="1">
      <alignment horizontal="center" vertical="center"/>
    </xf>
    <xf numFmtId="0" fontId="10" fillId="0" borderId="61" xfId="0" applyFont="1" applyBorder="1" applyAlignment="1">
      <alignment horizontal="center" vertical="center"/>
    </xf>
    <xf numFmtId="0" fontId="7" fillId="0" borderId="88" xfId="0" applyFont="1" applyBorder="1" applyAlignment="1">
      <alignment horizontal="center" vertical="center"/>
    </xf>
    <xf numFmtId="0" fontId="7" fillId="0" borderId="89" xfId="0" applyFont="1" applyBorder="1" applyAlignment="1">
      <alignment horizontal="center" vertical="center"/>
    </xf>
    <xf numFmtId="0" fontId="7" fillId="0" borderId="90" xfId="0" applyFont="1" applyBorder="1" applyAlignment="1">
      <alignment horizontal="center" vertical="center"/>
    </xf>
    <xf numFmtId="0" fontId="15" fillId="0" borderId="88" xfId="0" applyFont="1" applyBorder="1" applyAlignment="1">
      <alignment horizontal="center" vertical="center"/>
    </xf>
    <xf numFmtId="0" fontId="15" fillId="0" borderId="89" xfId="0" applyFont="1" applyBorder="1" applyAlignment="1">
      <alignment horizontal="center" vertical="center"/>
    </xf>
    <xf numFmtId="0" fontId="15" fillId="0" borderId="90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15" fillId="0" borderId="35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36" xfId="0" applyFont="1" applyBorder="1" applyAlignment="1">
      <alignment horizontal="center" vertical="center"/>
    </xf>
    <xf numFmtId="0" fontId="7" fillId="0" borderId="9" xfId="0" applyFont="1" applyBorder="1" applyAlignment="1">
      <alignment horizontal="left" vertical="center"/>
    </xf>
    <xf numFmtId="38" fontId="8" fillId="0" borderId="75" xfId="1" applyFont="1" applyFill="1" applyBorder="1" applyAlignment="1" applyProtection="1">
      <alignment horizontal="right" vertical="center"/>
      <protection locked="0"/>
    </xf>
    <xf numFmtId="38" fontId="8" fillId="0" borderId="15" xfId="1" applyFont="1" applyFill="1" applyBorder="1" applyAlignment="1" applyProtection="1">
      <alignment horizontal="right" vertical="center"/>
      <protection locked="0"/>
    </xf>
    <xf numFmtId="38" fontId="8" fillId="0" borderId="13" xfId="1" applyFont="1" applyFill="1" applyBorder="1" applyAlignment="1" applyProtection="1">
      <alignment horizontal="right" vertical="center"/>
      <protection locked="0"/>
    </xf>
    <xf numFmtId="0" fontId="7" fillId="0" borderId="59" xfId="0" applyFont="1" applyBorder="1" applyAlignment="1">
      <alignment horizontal="left" vertical="center"/>
    </xf>
    <xf numFmtId="0" fontId="7" fillId="0" borderId="77" xfId="0" applyFont="1" applyBorder="1" applyAlignment="1">
      <alignment horizontal="left" vertical="center"/>
    </xf>
    <xf numFmtId="0" fontId="10" fillId="0" borderId="78" xfId="0" applyFont="1" applyBorder="1" applyAlignment="1">
      <alignment horizontal="center" vertical="center"/>
    </xf>
    <xf numFmtId="0" fontId="10" fillId="0" borderId="58" xfId="0" applyFont="1" applyBorder="1" applyAlignment="1">
      <alignment horizontal="center" vertical="center"/>
    </xf>
    <xf numFmtId="0" fontId="10" fillId="0" borderId="79" xfId="0" applyFont="1" applyBorder="1" applyAlignment="1">
      <alignment horizontal="center" vertical="center"/>
    </xf>
    <xf numFmtId="38" fontId="8" fillId="0" borderId="80" xfId="1" applyFont="1" applyFill="1" applyBorder="1" applyAlignment="1">
      <alignment horizontal="right" vertical="center"/>
    </xf>
    <xf numFmtId="38" fontId="8" fillId="0" borderId="77" xfId="1" applyFont="1" applyFill="1" applyBorder="1" applyAlignment="1">
      <alignment horizontal="right" vertical="center"/>
    </xf>
    <xf numFmtId="38" fontId="8" fillId="0" borderId="78" xfId="1" applyFont="1" applyFill="1" applyBorder="1" applyAlignment="1">
      <alignment horizontal="right" vertical="center"/>
    </xf>
    <xf numFmtId="0" fontId="7" fillId="0" borderId="83" xfId="0" applyFont="1" applyBorder="1" applyAlignment="1">
      <alignment horizontal="left" vertical="center"/>
    </xf>
    <xf numFmtId="0" fontId="7" fillId="0" borderId="84" xfId="0" applyFont="1" applyBorder="1" applyAlignment="1">
      <alignment horizontal="left" vertical="center"/>
    </xf>
    <xf numFmtId="0" fontId="10" fillId="0" borderId="85" xfId="0" applyFont="1" applyBorder="1" applyAlignment="1">
      <alignment horizontal="center" vertical="center"/>
    </xf>
    <xf numFmtId="0" fontId="10" fillId="0" borderId="83" xfId="0" applyFont="1" applyBorder="1" applyAlignment="1">
      <alignment horizontal="center" vertical="center"/>
    </xf>
    <xf numFmtId="38" fontId="8" fillId="0" borderId="86" xfId="1" applyFont="1" applyFill="1" applyBorder="1" applyAlignment="1">
      <alignment horizontal="right" vertical="center"/>
    </xf>
    <xf numFmtId="38" fontId="8" fillId="0" borderId="83" xfId="1" applyFont="1" applyFill="1" applyBorder="1" applyAlignment="1">
      <alignment horizontal="right" vertical="center"/>
    </xf>
  </cellXfs>
  <cellStyles count="3">
    <cellStyle name="桁区切り" xfId="1" builtinId="6"/>
    <cellStyle name="標準" xfId="0" builtinId="0"/>
    <cellStyle name="標準 2" xfId="2" xr:uid="{00000000-0005-0000-0000-000002000000}"/>
  </cellStyles>
  <dxfs count="0"/>
  <tableStyles count="0" defaultTableStyle="TableStyleMedium2" defaultPivotStyle="PivotStyleLight16"/>
  <colors>
    <mruColors>
      <color rgb="FFFF0066"/>
      <color rgb="FFFF0000"/>
      <color rgb="FFBF060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T39"/>
  <sheetViews>
    <sheetView tabSelected="1" topLeftCell="A14" workbookViewId="0">
      <selection activeCell="Y16" sqref="Y16"/>
    </sheetView>
  </sheetViews>
  <sheetFormatPr defaultRowHeight="13.5" x14ac:dyDescent="0.15"/>
  <cols>
    <col min="1" max="1" width="4" style="6" customWidth="1"/>
    <col min="2" max="2" width="7.625" customWidth="1"/>
    <col min="3" max="3" width="4.5" customWidth="1"/>
    <col min="4" max="5" width="3.5" customWidth="1"/>
    <col min="6" max="6" width="3.625" customWidth="1"/>
    <col min="7" max="7" width="3.125" customWidth="1"/>
    <col min="8" max="8" width="3.25" customWidth="1"/>
    <col min="9" max="9" width="5" customWidth="1"/>
    <col min="10" max="10" width="4.25" style="6" customWidth="1"/>
    <col min="11" max="11" width="3.125" customWidth="1"/>
    <col min="12" max="12" width="4.125" customWidth="1"/>
    <col min="13" max="13" width="4.875" customWidth="1"/>
    <col min="14" max="14" width="5.5" customWidth="1"/>
    <col min="15" max="15" width="5.25" customWidth="1"/>
    <col min="16" max="16" width="4.5" customWidth="1"/>
    <col min="17" max="17" width="5.125" customWidth="1"/>
    <col min="18" max="18" width="5.5" customWidth="1"/>
    <col min="19" max="19" width="5" customWidth="1"/>
    <col min="20" max="20" width="6.75" customWidth="1"/>
    <col min="21" max="21" width="4.375" customWidth="1"/>
  </cols>
  <sheetData>
    <row r="1" spans="1:20" ht="31.5" customHeight="1" x14ac:dyDescent="0.15">
      <c r="A1" s="52" t="s">
        <v>86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</row>
    <row r="2" spans="1:20" ht="24.75" customHeight="1" x14ac:dyDescent="0.15">
      <c r="A2" s="53" t="s">
        <v>0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</row>
    <row r="3" spans="1:20" ht="18" customHeight="1" x14ac:dyDescent="0.15">
      <c r="A3" s="55" t="s">
        <v>1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</row>
    <row r="4" spans="1:20" ht="18" customHeight="1" x14ac:dyDescent="0.15">
      <c r="A4" s="55" t="s">
        <v>2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</row>
    <row r="5" spans="1:20" ht="3.75" customHeight="1" thickBot="1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ht="24.75" customHeight="1" thickBot="1" x14ac:dyDescent="0.2">
      <c r="A6" s="56" t="s">
        <v>3</v>
      </c>
      <c r="B6" s="56"/>
      <c r="C6" s="56"/>
      <c r="D6" s="56"/>
      <c r="E6" s="56"/>
      <c r="F6" s="56"/>
      <c r="G6" s="56"/>
      <c r="H6" s="56"/>
      <c r="I6" s="56"/>
      <c r="J6" s="56"/>
      <c r="K6" s="56"/>
      <c r="L6" s="56"/>
      <c r="M6" s="57"/>
      <c r="N6" s="32" t="s">
        <v>4</v>
      </c>
      <c r="O6" s="33"/>
      <c r="P6" s="58">
        <f>D8+1</f>
        <v>46118</v>
      </c>
      <c r="Q6" s="58"/>
      <c r="R6" s="58"/>
      <c r="S6" s="58"/>
      <c r="T6" s="59"/>
    </row>
    <row r="7" spans="1:20" ht="24.75" customHeight="1" x14ac:dyDescent="0.15">
      <c r="A7" s="38" t="s">
        <v>5</v>
      </c>
      <c r="B7" s="39"/>
      <c r="C7" s="40" t="s">
        <v>85</v>
      </c>
      <c r="D7" s="41"/>
      <c r="E7" s="41"/>
      <c r="F7" s="41"/>
      <c r="G7" s="41"/>
      <c r="H7" s="41"/>
      <c r="I7" s="41"/>
      <c r="J7" s="41"/>
      <c r="K7" s="41"/>
      <c r="L7" s="41"/>
      <c r="M7" s="42"/>
      <c r="N7" s="43" t="s">
        <v>78</v>
      </c>
      <c r="O7" s="44"/>
      <c r="P7" s="45" t="s">
        <v>6</v>
      </c>
      <c r="Q7" s="45"/>
      <c r="R7" s="45"/>
      <c r="S7" s="45"/>
      <c r="T7" s="46"/>
    </row>
    <row r="8" spans="1:20" ht="27" customHeight="1" x14ac:dyDescent="0.15">
      <c r="A8" s="47" t="s">
        <v>7</v>
      </c>
      <c r="B8" s="48"/>
      <c r="C8" s="2"/>
      <c r="D8" s="49">
        <v>46117</v>
      </c>
      <c r="E8" s="49"/>
      <c r="F8" s="49"/>
      <c r="G8" s="49"/>
      <c r="H8" s="49"/>
      <c r="I8" s="49"/>
      <c r="J8" s="49"/>
      <c r="K8" s="49"/>
      <c r="L8" s="49"/>
      <c r="M8" s="50"/>
      <c r="N8" s="51" t="s">
        <v>8</v>
      </c>
      <c r="O8" s="45"/>
      <c r="P8" s="44" t="s">
        <v>81</v>
      </c>
      <c r="Q8" s="44"/>
      <c r="R8" s="44"/>
      <c r="S8" s="44"/>
      <c r="T8" s="3"/>
    </row>
    <row r="9" spans="1:20" ht="20.25" customHeight="1" x14ac:dyDescent="0.15">
      <c r="A9" s="60" t="s">
        <v>9</v>
      </c>
      <c r="B9" s="61"/>
      <c r="C9" s="73" t="s">
        <v>79</v>
      </c>
      <c r="D9" s="74"/>
      <c r="E9" s="74"/>
      <c r="F9" s="74"/>
      <c r="G9" s="74"/>
      <c r="H9" s="74"/>
      <c r="I9" s="74"/>
      <c r="J9" s="74"/>
      <c r="K9" s="45" t="s">
        <v>10</v>
      </c>
      <c r="L9" s="45"/>
      <c r="M9" s="48"/>
      <c r="N9" s="61" t="s">
        <v>11</v>
      </c>
      <c r="O9" s="61"/>
      <c r="P9" s="61"/>
      <c r="Q9" s="62" t="s">
        <v>80</v>
      </c>
      <c r="R9" s="65"/>
      <c r="S9" s="65"/>
      <c r="T9" s="66"/>
    </row>
    <row r="10" spans="1:20" ht="20.25" customHeight="1" x14ac:dyDescent="0.15">
      <c r="A10" s="60" t="s">
        <v>12</v>
      </c>
      <c r="B10" s="61"/>
      <c r="C10" s="75" t="s">
        <v>87</v>
      </c>
      <c r="D10" s="76"/>
      <c r="E10" s="76"/>
      <c r="F10" s="76"/>
      <c r="G10" s="76"/>
      <c r="H10" s="76"/>
      <c r="I10" s="76"/>
      <c r="J10" s="76"/>
      <c r="K10" s="45" t="s">
        <v>12</v>
      </c>
      <c r="L10" s="45"/>
      <c r="M10" s="48"/>
      <c r="N10" s="61" t="s">
        <v>13</v>
      </c>
      <c r="O10" s="61"/>
      <c r="P10" s="61"/>
      <c r="Q10" s="62"/>
      <c r="R10" s="65"/>
      <c r="S10" s="65"/>
      <c r="T10" s="66"/>
    </row>
    <row r="11" spans="1:20" ht="20.25" customHeight="1" x14ac:dyDescent="0.15">
      <c r="A11" s="60" t="s">
        <v>14</v>
      </c>
      <c r="B11" s="61"/>
      <c r="C11" s="62" t="s">
        <v>82</v>
      </c>
      <c r="D11" s="63"/>
      <c r="E11" s="63"/>
      <c r="F11" s="63"/>
      <c r="G11" s="63"/>
      <c r="H11" s="63"/>
      <c r="I11" s="63"/>
      <c r="J11" s="63"/>
      <c r="K11" s="63"/>
      <c r="L11" s="63"/>
      <c r="M11" s="64"/>
      <c r="N11" s="61" t="s">
        <v>15</v>
      </c>
      <c r="O11" s="61"/>
      <c r="P11" s="61"/>
      <c r="Q11" s="62"/>
      <c r="R11" s="65"/>
      <c r="S11" s="65"/>
      <c r="T11" s="66"/>
    </row>
    <row r="12" spans="1:20" ht="20.25" customHeight="1" thickBot="1" x14ac:dyDescent="0.2">
      <c r="A12" s="67" t="s">
        <v>16</v>
      </c>
      <c r="B12" s="68"/>
      <c r="C12" s="69" t="s">
        <v>84</v>
      </c>
      <c r="D12" s="70"/>
      <c r="E12" s="70"/>
      <c r="F12" s="70"/>
      <c r="G12" s="70"/>
      <c r="H12" s="70"/>
      <c r="I12" s="70"/>
      <c r="J12" s="70"/>
      <c r="K12" s="70"/>
      <c r="L12" s="70"/>
      <c r="M12" s="71"/>
      <c r="N12" s="68" t="s">
        <v>17</v>
      </c>
      <c r="O12" s="68"/>
      <c r="P12" s="68"/>
      <c r="Q12" s="69"/>
      <c r="R12" s="70"/>
      <c r="S12" s="70"/>
      <c r="T12" s="72"/>
    </row>
    <row r="13" spans="1:20" ht="19.5" customHeight="1" x14ac:dyDescent="0.15">
      <c r="A13" s="83" t="s">
        <v>18</v>
      </c>
      <c r="B13" s="84"/>
      <c r="C13" s="84"/>
      <c r="D13" s="84"/>
      <c r="E13" s="84"/>
      <c r="F13" s="84"/>
      <c r="G13" s="89" t="s">
        <v>19</v>
      </c>
      <c r="H13" s="90"/>
      <c r="I13" s="90"/>
      <c r="J13" s="90"/>
      <c r="K13" s="89" t="s">
        <v>20</v>
      </c>
      <c r="L13" s="90"/>
      <c r="M13" s="90"/>
      <c r="N13" s="90"/>
      <c r="O13" s="89" t="s">
        <v>21</v>
      </c>
      <c r="P13" s="90"/>
      <c r="Q13" s="90"/>
      <c r="R13" s="89" t="s">
        <v>22</v>
      </c>
      <c r="S13" s="89"/>
      <c r="T13" s="91"/>
    </row>
    <row r="14" spans="1:20" ht="19.5" customHeight="1" x14ac:dyDescent="0.15">
      <c r="A14" s="85"/>
      <c r="B14" s="86"/>
      <c r="C14" s="61" t="s">
        <v>23</v>
      </c>
      <c r="D14" s="61"/>
      <c r="E14" s="61"/>
      <c r="F14" s="61"/>
      <c r="G14" s="79">
        <v>1</v>
      </c>
      <c r="H14" s="80"/>
      <c r="I14" s="80"/>
      <c r="J14" s="34" t="s">
        <v>83</v>
      </c>
      <c r="K14" s="79">
        <v>1</v>
      </c>
      <c r="L14" s="80"/>
      <c r="M14" s="80"/>
      <c r="N14" s="34" t="s">
        <v>83</v>
      </c>
      <c r="O14" s="81">
        <f>IF(G14+K14=0,"",G14+K14)</f>
        <v>2</v>
      </c>
      <c r="P14" s="82"/>
      <c r="Q14" s="34" t="s">
        <v>83</v>
      </c>
      <c r="R14" s="77"/>
      <c r="S14" s="77"/>
      <c r="T14" s="78"/>
    </row>
    <row r="15" spans="1:20" ht="19.5" customHeight="1" x14ac:dyDescent="0.15">
      <c r="A15" s="85"/>
      <c r="B15" s="86"/>
      <c r="C15" s="61" t="s">
        <v>24</v>
      </c>
      <c r="D15" s="61"/>
      <c r="E15" s="61"/>
      <c r="F15" s="61"/>
      <c r="G15" s="79">
        <v>29</v>
      </c>
      <c r="H15" s="80"/>
      <c r="I15" s="80"/>
      <c r="J15" s="34" t="s">
        <v>83</v>
      </c>
      <c r="K15" s="79">
        <v>30</v>
      </c>
      <c r="L15" s="80"/>
      <c r="M15" s="80"/>
      <c r="N15" s="34" t="s">
        <v>83</v>
      </c>
      <c r="O15" s="81">
        <f>IF(G15+K15=0,"",G15+K15)</f>
        <v>59</v>
      </c>
      <c r="P15" s="82"/>
      <c r="Q15" s="34" t="s">
        <v>83</v>
      </c>
      <c r="R15" s="77"/>
      <c r="S15" s="77"/>
      <c r="T15" s="78"/>
    </row>
    <row r="16" spans="1:20" ht="19.5" customHeight="1" x14ac:dyDescent="0.15">
      <c r="A16" s="85"/>
      <c r="B16" s="86"/>
      <c r="C16" s="61" t="s">
        <v>25</v>
      </c>
      <c r="D16" s="61"/>
      <c r="E16" s="61"/>
      <c r="F16" s="61"/>
      <c r="G16" s="79"/>
      <c r="H16" s="80"/>
      <c r="I16" s="80"/>
      <c r="J16" s="34" t="s">
        <v>83</v>
      </c>
      <c r="K16" s="79"/>
      <c r="L16" s="80"/>
      <c r="M16" s="80"/>
      <c r="N16" s="34" t="s">
        <v>83</v>
      </c>
      <c r="O16" s="81" t="str">
        <f>IF(G16+K16=0,"",G16+K16)</f>
        <v/>
      </c>
      <c r="P16" s="82"/>
      <c r="Q16" s="34" t="s">
        <v>83</v>
      </c>
      <c r="R16" s="77"/>
      <c r="S16" s="77"/>
      <c r="T16" s="78"/>
    </row>
    <row r="17" spans="1:20" ht="19.5" customHeight="1" x14ac:dyDescent="0.15">
      <c r="A17" s="85"/>
      <c r="B17" s="86"/>
      <c r="C17" s="61" t="s">
        <v>26</v>
      </c>
      <c r="D17" s="61"/>
      <c r="E17" s="61"/>
      <c r="F17" s="61"/>
      <c r="G17" s="79"/>
      <c r="H17" s="80"/>
      <c r="I17" s="80"/>
      <c r="J17" s="34" t="s">
        <v>83</v>
      </c>
      <c r="K17" s="79"/>
      <c r="L17" s="80"/>
      <c r="M17" s="80"/>
      <c r="N17" s="34" t="s">
        <v>83</v>
      </c>
      <c r="O17" s="81" t="str">
        <f>IF(G17+K17=0,"",G17+K17)</f>
        <v/>
      </c>
      <c r="P17" s="82"/>
      <c r="Q17" s="34" t="s">
        <v>83</v>
      </c>
      <c r="R17" s="77"/>
      <c r="S17" s="77"/>
      <c r="T17" s="78"/>
    </row>
    <row r="18" spans="1:20" ht="19.5" customHeight="1" thickBot="1" x14ac:dyDescent="0.2">
      <c r="A18" s="87"/>
      <c r="B18" s="88"/>
      <c r="C18" s="118" t="s">
        <v>27</v>
      </c>
      <c r="D18" s="118"/>
      <c r="E18" s="118"/>
      <c r="F18" s="118"/>
      <c r="G18" s="119">
        <f>IF(SUM(G14:I17)=0,"",SUM(G14:I17))</f>
        <v>30</v>
      </c>
      <c r="H18" s="120"/>
      <c r="I18" s="120"/>
      <c r="J18" s="35" t="s">
        <v>83</v>
      </c>
      <c r="K18" s="119">
        <f>IF(SUM(K14:M17)=0,"",SUM(K14:M17))</f>
        <v>31</v>
      </c>
      <c r="L18" s="120"/>
      <c r="M18" s="120"/>
      <c r="N18" s="35" t="s">
        <v>83</v>
      </c>
      <c r="O18" s="81">
        <f>IF(SUM(O14:P17)=0,"",SUM(O14:P17))</f>
        <v>61</v>
      </c>
      <c r="P18" s="82"/>
      <c r="Q18" s="35" t="s">
        <v>83</v>
      </c>
      <c r="R18" s="92"/>
      <c r="S18" s="92"/>
      <c r="T18" s="93"/>
    </row>
    <row r="19" spans="1:20" ht="19.5" customHeight="1" x14ac:dyDescent="0.15">
      <c r="A19" s="94" t="s">
        <v>28</v>
      </c>
      <c r="B19" s="95"/>
      <c r="C19" s="100" t="s">
        <v>29</v>
      </c>
      <c r="D19" s="101"/>
      <c r="E19" s="101"/>
      <c r="F19" s="102"/>
      <c r="G19" s="89" t="s">
        <v>30</v>
      </c>
      <c r="H19" s="89"/>
      <c r="I19" s="89"/>
      <c r="J19" s="89"/>
      <c r="K19" s="89" t="s">
        <v>31</v>
      </c>
      <c r="L19" s="89"/>
      <c r="M19" s="89"/>
      <c r="N19" s="89"/>
      <c r="O19" s="109" t="s">
        <v>32</v>
      </c>
      <c r="P19" s="110"/>
      <c r="Q19" s="110"/>
      <c r="R19" s="110"/>
      <c r="S19" s="110"/>
      <c r="T19" s="111"/>
    </row>
    <row r="20" spans="1:20" ht="19.5" customHeight="1" x14ac:dyDescent="0.15">
      <c r="A20" s="96"/>
      <c r="B20" s="97"/>
      <c r="C20" s="103"/>
      <c r="D20" s="104"/>
      <c r="E20" s="104"/>
      <c r="F20" s="105"/>
      <c r="G20" s="61" t="s">
        <v>33</v>
      </c>
      <c r="H20" s="61"/>
      <c r="I20" s="61"/>
      <c r="J20" s="61"/>
      <c r="K20" s="61" t="s">
        <v>34</v>
      </c>
      <c r="L20" s="61"/>
      <c r="M20" s="61"/>
      <c r="N20" s="61"/>
      <c r="O20" s="112" t="s">
        <v>35</v>
      </c>
      <c r="P20" s="113"/>
      <c r="Q20" s="113"/>
      <c r="R20" s="113"/>
      <c r="S20" s="113"/>
      <c r="T20" s="114"/>
    </row>
    <row r="21" spans="1:20" ht="19.5" customHeight="1" thickBot="1" x14ac:dyDescent="0.2">
      <c r="A21" s="98"/>
      <c r="B21" s="99"/>
      <c r="C21" s="106"/>
      <c r="D21" s="107"/>
      <c r="E21" s="107"/>
      <c r="F21" s="108"/>
      <c r="G21" s="68" t="s">
        <v>36</v>
      </c>
      <c r="H21" s="68"/>
      <c r="I21" s="68"/>
      <c r="J21" s="68"/>
      <c r="K21" s="68" t="s">
        <v>37</v>
      </c>
      <c r="L21" s="68"/>
      <c r="M21" s="68"/>
      <c r="N21" s="68"/>
      <c r="O21" s="115" t="s">
        <v>38</v>
      </c>
      <c r="P21" s="116"/>
      <c r="Q21" s="116"/>
      <c r="R21" s="116"/>
      <c r="S21" s="116"/>
      <c r="T21" s="117"/>
    </row>
    <row r="22" spans="1:20" s="6" customFormat="1" ht="24" customHeight="1" x14ac:dyDescent="0.15">
      <c r="A22" s="4" t="s">
        <v>39</v>
      </c>
      <c r="B22" s="5" t="s">
        <v>40</v>
      </c>
      <c r="C22" s="127" t="s">
        <v>41</v>
      </c>
      <c r="D22" s="127"/>
      <c r="E22" s="127"/>
      <c r="F22" s="127"/>
      <c r="G22" s="128" t="s">
        <v>42</v>
      </c>
      <c r="H22" s="129"/>
      <c r="I22" s="129"/>
      <c r="J22" s="130"/>
      <c r="K22" s="131" t="s">
        <v>43</v>
      </c>
      <c r="L22" s="131"/>
      <c r="M22" s="131"/>
      <c r="N22" s="128" t="s">
        <v>44</v>
      </c>
      <c r="O22" s="130"/>
      <c r="P22" s="128" t="s">
        <v>45</v>
      </c>
      <c r="Q22" s="129"/>
      <c r="R22" s="129"/>
      <c r="S22" s="128" t="s">
        <v>46</v>
      </c>
      <c r="T22" s="132"/>
    </row>
    <row r="23" spans="1:20" ht="20.25" customHeight="1" x14ac:dyDescent="0.15">
      <c r="A23" s="7">
        <v>1</v>
      </c>
      <c r="B23" s="8"/>
      <c r="C23" s="9"/>
      <c r="D23" s="45" t="s">
        <v>47</v>
      </c>
      <c r="E23" s="45"/>
      <c r="F23" s="45"/>
      <c r="G23" s="121"/>
      <c r="H23" s="44"/>
      <c r="I23" s="44"/>
      <c r="J23" s="122"/>
      <c r="K23" s="121"/>
      <c r="L23" s="44"/>
      <c r="M23" s="122"/>
      <c r="N23" s="121"/>
      <c r="O23" s="122"/>
      <c r="P23" s="123"/>
      <c r="Q23" s="124"/>
      <c r="R23" s="10" t="s">
        <v>48</v>
      </c>
      <c r="S23" s="125"/>
      <c r="T23" s="126"/>
    </row>
    <row r="24" spans="1:20" ht="20.25" customHeight="1" x14ac:dyDescent="0.15">
      <c r="A24" s="7">
        <v>2</v>
      </c>
      <c r="B24" s="8"/>
      <c r="C24" s="9"/>
      <c r="D24" s="45" t="s">
        <v>47</v>
      </c>
      <c r="E24" s="45"/>
      <c r="F24" s="45"/>
      <c r="G24" s="121"/>
      <c r="H24" s="44"/>
      <c r="I24" s="44"/>
      <c r="J24" s="122"/>
      <c r="K24" s="121"/>
      <c r="L24" s="44"/>
      <c r="M24" s="122"/>
      <c r="N24" s="121"/>
      <c r="O24" s="122"/>
      <c r="P24" s="123"/>
      <c r="Q24" s="124"/>
      <c r="R24" s="10" t="s">
        <v>48</v>
      </c>
      <c r="S24" s="125"/>
      <c r="T24" s="126"/>
    </row>
    <row r="25" spans="1:20" ht="20.25" customHeight="1" x14ac:dyDescent="0.15">
      <c r="A25" s="7">
        <v>3</v>
      </c>
      <c r="B25" s="8"/>
      <c r="C25" s="9"/>
      <c r="D25" s="45" t="s">
        <v>47</v>
      </c>
      <c r="E25" s="45"/>
      <c r="F25" s="45"/>
      <c r="G25" s="121"/>
      <c r="H25" s="44"/>
      <c r="I25" s="44"/>
      <c r="J25" s="122"/>
      <c r="K25" s="121"/>
      <c r="L25" s="44"/>
      <c r="M25" s="122"/>
      <c r="N25" s="121"/>
      <c r="O25" s="122"/>
      <c r="P25" s="123"/>
      <c r="Q25" s="124"/>
      <c r="R25" s="10" t="s">
        <v>48</v>
      </c>
      <c r="S25" s="125"/>
      <c r="T25" s="126"/>
    </row>
    <row r="26" spans="1:20" ht="20.25" customHeight="1" x14ac:dyDescent="0.15">
      <c r="A26" s="7">
        <v>4</v>
      </c>
      <c r="B26" s="8"/>
      <c r="C26" s="9"/>
      <c r="D26" s="45" t="s">
        <v>47</v>
      </c>
      <c r="E26" s="45"/>
      <c r="F26" s="45"/>
      <c r="G26" s="121"/>
      <c r="H26" s="44"/>
      <c r="I26" s="44"/>
      <c r="J26" s="122"/>
      <c r="K26" s="121"/>
      <c r="L26" s="44"/>
      <c r="M26" s="122"/>
      <c r="N26" s="121"/>
      <c r="O26" s="122"/>
      <c r="P26" s="123"/>
      <c r="Q26" s="124"/>
      <c r="R26" s="10" t="s">
        <v>48</v>
      </c>
      <c r="S26" s="125"/>
      <c r="T26" s="126"/>
    </row>
    <row r="27" spans="1:20" ht="20.25" customHeight="1" thickBot="1" x14ac:dyDescent="0.2">
      <c r="A27" s="11">
        <v>5</v>
      </c>
      <c r="B27" s="8" t="s">
        <v>49</v>
      </c>
      <c r="C27" s="12"/>
      <c r="D27" s="133" t="s">
        <v>47</v>
      </c>
      <c r="E27" s="133"/>
      <c r="F27" s="133"/>
      <c r="G27" s="134"/>
      <c r="H27" s="135"/>
      <c r="I27" s="135"/>
      <c r="J27" s="136"/>
      <c r="K27" s="134"/>
      <c r="L27" s="135"/>
      <c r="M27" s="136"/>
      <c r="N27" s="134"/>
      <c r="O27" s="136"/>
      <c r="P27" s="137"/>
      <c r="Q27" s="138"/>
      <c r="R27" s="13" t="s">
        <v>48</v>
      </c>
      <c r="S27" s="139"/>
      <c r="T27" s="140"/>
    </row>
    <row r="28" spans="1:20" ht="25.5" customHeight="1" thickBot="1" x14ac:dyDescent="0.2">
      <c r="A28" s="159" t="s">
        <v>50</v>
      </c>
      <c r="B28" s="159"/>
      <c r="C28" s="159"/>
      <c r="D28" s="159"/>
      <c r="E28" s="159"/>
      <c r="F28" s="159"/>
      <c r="G28" s="160"/>
      <c r="H28" s="160"/>
      <c r="I28" s="160"/>
      <c r="J28" s="160"/>
      <c r="K28" s="160"/>
      <c r="L28" s="160"/>
      <c r="M28" s="160"/>
      <c r="N28" s="160"/>
      <c r="O28" s="160"/>
      <c r="P28" s="160"/>
      <c r="Q28" s="160"/>
      <c r="R28" s="160"/>
      <c r="S28" s="160"/>
      <c r="T28" s="160"/>
    </row>
    <row r="29" spans="1:20" ht="20.25" customHeight="1" thickTop="1" x14ac:dyDescent="0.15">
      <c r="A29" s="14" t="s">
        <v>51</v>
      </c>
      <c r="B29" s="161" t="s">
        <v>52</v>
      </c>
      <c r="C29" s="161"/>
      <c r="D29" s="161"/>
      <c r="E29" s="161"/>
      <c r="F29" s="161"/>
      <c r="G29" s="161"/>
      <c r="H29" s="161"/>
      <c r="I29" s="161"/>
      <c r="J29" s="162">
        <v>50000</v>
      </c>
      <c r="K29" s="162"/>
      <c r="L29" s="162"/>
      <c r="M29" s="15" t="s">
        <v>53</v>
      </c>
      <c r="N29" s="163" t="s">
        <v>54</v>
      </c>
      <c r="O29" s="163"/>
      <c r="P29" s="164"/>
      <c r="Q29" s="165">
        <f>J29+J30</f>
        <v>55000</v>
      </c>
      <c r="R29" s="166"/>
      <c r="S29" s="166"/>
      <c r="T29" s="169" t="s">
        <v>48</v>
      </c>
    </row>
    <row r="30" spans="1:20" ht="20.25" customHeight="1" thickBot="1" x14ac:dyDescent="0.2">
      <c r="A30" s="16" t="s">
        <v>55</v>
      </c>
      <c r="B30" s="171" t="s">
        <v>56</v>
      </c>
      <c r="C30" s="171"/>
      <c r="D30" s="171"/>
      <c r="E30" s="171"/>
      <c r="F30" s="171"/>
      <c r="G30" s="171"/>
      <c r="H30" s="171"/>
      <c r="I30" s="171"/>
      <c r="J30" s="172">
        <v>5000</v>
      </c>
      <c r="K30" s="172"/>
      <c r="L30" s="172"/>
      <c r="M30" s="17" t="s">
        <v>53</v>
      </c>
      <c r="N30" s="173" t="s">
        <v>57</v>
      </c>
      <c r="O30" s="173"/>
      <c r="P30" s="174"/>
      <c r="Q30" s="167"/>
      <c r="R30" s="168"/>
      <c r="S30" s="168"/>
      <c r="T30" s="170"/>
    </row>
    <row r="31" spans="1:20" ht="21" customHeight="1" thickTop="1" x14ac:dyDescent="0.15">
      <c r="A31" s="18" t="s">
        <v>58</v>
      </c>
      <c r="B31" s="141" t="s">
        <v>59</v>
      </c>
      <c r="C31" s="142"/>
      <c r="D31" s="142"/>
      <c r="E31" s="142"/>
      <c r="F31" s="142"/>
      <c r="G31" s="142"/>
      <c r="H31" s="142"/>
      <c r="I31" s="142"/>
      <c r="J31" s="143"/>
      <c r="K31" s="144" t="s">
        <v>60</v>
      </c>
      <c r="L31" s="145"/>
      <c r="M31" s="146"/>
      <c r="N31" s="19" t="s">
        <v>61</v>
      </c>
      <c r="O31" s="36">
        <f>O18</f>
        <v>61</v>
      </c>
      <c r="P31" s="19" t="s">
        <v>62</v>
      </c>
      <c r="Q31" s="147">
        <f>1000*O31</f>
        <v>61000</v>
      </c>
      <c r="R31" s="148"/>
      <c r="S31" s="149"/>
      <c r="T31" s="20" t="s">
        <v>48</v>
      </c>
    </row>
    <row r="32" spans="1:20" ht="21" customHeight="1" x14ac:dyDescent="0.15">
      <c r="A32" s="21" t="s">
        <v>63</v>
      </c>
      <c r="B32" s="150" t="s">
        <v>64</v>
      </c>
      <c r="C32" s="151"/>
      <c r="D32" s="151"/>
      <c r="E32" s="151"/>
      <c r="F32" s="151"/>
      <c r="G32" s="151"/>
      <c r="H32" s="151"/>
      <c r="I32" s="151"/>
      <c r="J32" s="152"/>
      <c r="K32" s="153" t="s">
        <v>60</v>
      </c>
      <c r="L32" s="154"/>
      <c r="M32" s="155"/>
      <c r="N32" s="22" t="s">
        <v>61</v>
      </c>
      <c r="O32" s="37">
        <f>O31</f>
        <v>61</v>
      </c>
      <c r="P32" s="22" t="s">
        <v>62</v>
      </c>
      <c r="Q32" s="156">
        <f>1000*O32</f>
        <v>61000</v>
      </c>
      <c r="R32" s="157"/>
      <c r="S32" s="158"/>
      <c r="T32" s="23" t="s">
        <v>65</v>
      </c>
    </row>
    <row r="33" spans="1:20" ht="21" customHeight="1" x14ac:dyDescent="0.15">
      <c r="A33" s="24" t="s">
        <v>66</v>
      </c>
      <c r="B33" s="186" t="s">
        <v>67</v>
      </c>
      <c r="C33" s="186"/>
      <c r="D33" s="186"/>
      <c r="E33" s="186"/>
      <c r="F33" s="186"/>
      <c r="G33" s="186"/>
      <c r="H33" s="186"/>
      <c r="I33" s="186"/>
      <c r="J33" s="186"/>
      <c r="K33" s="186"/>
      <c r="L33" s="186"/>
      <c r="M33" s="186"/>
      <c r="N33" s="186"/>
      <c r="O33" s="25"/>
      <c r="P33" s="26" t="s">
        <v>68</v>
      </c>
      <c r="Q33" s="187"/>
      <c r="R33" s="188"/>
      <c r="S33" s="189"/>
      <c r="T33" s="27" t="s">
        <v>48</v>
      </c>
    </row>
    <row r="34" spans="1:20" ht="21" customHeight="1" thickBot="1" x14ac:dyDescent="0.2">
      <c r="A34" s="28" t="s">
        <v>69</v>
      </c>
      <c r="B34" s="190" t="s">
        <v>70</v>
      </c>
      <c r="C34" s="191"/>
      <c r="D34" s="191"/>
      <c r="E34" s="191"/>
      <c r="F34" s="191"/>
      <c r="G34" s="191"/>
      <c r="H34" s="191"/>
      <c r="I34" s="191"/>
      <c r="J34" s="191"/>
      <c r="K34" s="192" t="s">
        <v>71</v>
      </c>
      <c r="L34" s="193"/>
      <c r="M34" s="193"/>
      <c r="N34" s="193"/>
      <c r="O34" s="193"/>
      <c r="P34" s="194"/>
      <c r="Q34" s="195">
        <f>Q31+Q32-Q33</f>
        <v>122000</v>
      </c>
      <c r="R34" s="196"/>
      <c r="S34" s="197"/>
      <c r="T34" s="29" t="s">
        <v>48</v>
      </c>
    </row>
    <row r="35" spans="1:20" ht="27.75" customHeight="1" thickTop="1" thickBot="1" x14ac:dyDescent="0.2">
      <c r="A35" s="30" t="s">
        <v>72</v>
      </c>
      <c r="B35" s="198" t="s">
        <v>73</v>
      </c>
      <c r="C35" s="198"/>
      <c r="D35" s="198"/>
      <c r="E35" s="198"/>
      <c r="F35" s="198"/>
      <c r="G35" s="198"/>
      <c r="H35" s="198"/>
      <c r="I35" s="198"/>
      <c r="J35" s="199"/>
      <c r="K35" s="200" t="s">
        <v>74</v>
      </c>
      <c r="L35" s="201"/>
      <c r="M35" s="201"/>
      <c r="N35" s="201"/>
      <c r="O35" s="201"/>
      <c r="P35" s="201"/>
      <c r="Q35" s="202">
        <f>Q29+Q34</f>
        <v>177000</v>
      </c>
      <c r="R35" s="203"/>
      <c r="S35" s="203"/>
      <c r="T35" s="31" t="s">
        <v>48</v>
      </c>
    </row>
    <row r="36" spans="1:20" ht="4.5" customHeight="1" thickTop="1" x14ac:dyDescent="0.15"/>
    <row r="37" spans="1:20" ht="17.25" customHeight="1" x14ac:dyDescent="0.15">
      <c r="A37" s="175" t="s">
        <v>75</v>
      </c>
      <c r="B37" s="176"/>
      <c r="C37" s="176"/>
      <c r="D37" s="176"/>
      <c r="E37" s="176"/>
      <c r="F37" s="176"/>
      <c r="G37" s="176"/>
      <c r="H37" s="176"/>
      <c r="I37" s="176"/>
      <c r="J37" s="176"/>
      <c r="K37" s="176"/>
      <c r="L37" s="176"/>
      <c r="M37" s="176"/>
      <c r="N37" s="176"/>
      <c r="O37" s="176"/>
      <c r="P37" s="177"/>
      <c r="Q37" s="178" t="s">
        <v>76</v>
      </c>
      <c r="R37" s="179"/>
      <c r="S37" s="179"/>
      <c r="T37" s="180"/>
    </row>
    <row r="38" spans="1:20" x14ac:dyDescent="0.15">
      <c r="A38" s="181"/>
      <c r="B38" s="160"/>
      <c r="C38" s="160"/>
      <c r="D38" s="160"/>
      <c r="E38" s="160"/>
      <c r="F38" s="160"/>
      <c r="G38" s="160"/>
      <c r="H38" s="160"/>
      <c r="I38" s="160"/>
      <c r="J38" s="160"/>
      <c r="K38" s="160"/>
      <c r="L38" s="160"/>
      <c r="M38" s="160"/>
      <c r="N38" s="160"/>
      <c r="O38" s="160"/>
      <c r="P38" s="182"/>
      <c r="Q38" s="183" t="s">
        <v>77</v>
      </c>
      <c r="R38" s="184"/>
      <c r="S38" s="184"/>
      <c r="T38" s="185"/>
    </row>
    <row r="39" spans="1:20" ht="64.5" customHeight="1" x14ac:dyDescent="0.15">
      <c r="A39" s="128"/>
      <c r="B39" s="129"/>
      <c r="C39" s="129"/>
      <c r="D39" s="129"/>
      <c r="E39" s="129"/>
      <c r="F39" s="129"/>
      <c r="G39" s="129"/>
      <c r="H39" s="129"/>
      <c r="I39" s="129"/>
      <c r="J39" s="129"/>
      <c r="K39" s="129"/>
      <c r="L39" s="129"/>
      <c r="M39" s="129"/>
      <c r="N39" s="129"/>
      <c r="O39" s="129"/>
      <c r="P39" s="130"/>
      <c r="Q39" s="128"/>
      <c r="R39" s="129"/>
      <c r="S39" s="129"/>
      <c r="T39" s="130"/>
    </row>
  </sheetData>
  <mergeCells count="140">
    <mergeCell ref="A37:B37"/>
    <mergeCell ref="C37:P37"/>
    <mergeCell ref="Q37:T37"/>
    <mergeCell ref="A38:P39"/>
    <mergeCell ref="Q38:T38"/>
    <mergeCell ref="Q39:T39"/>
    <mergeCell ref="B33:N33"/>
    <mergeCell ref="Q33:S33"/>
    <mergeCell ref="B34:J34"/>
    <mergeCell ref="K34:P34"/>
    <mergeCell ref="Q34:S34"/>
    <mergeCell ref="B35:J35"/>
    <mergeCell ref="K35:P35"/>
    <mergeCell ref="Q35:S35"/>
    <mergeCell ref="B31:J31"/>
    <mergeCell ref="K31:M31"/>
    <mergeCell ref="Q31:S31"/>
    <mergeCell ref="B32:J32"/>
    <mergeCell ref="K32:M32"/>
    <mergeCell ref="Q32:S32"/>
    <mergeCell ref="A28:F28"/>
    <mergeCell ref="G28:T28"/>
    <mergeCell ref="B29:I29"/>
    <mergeCell ref="J29:L29"/>
    <mergeCell ref="N29:P29"/>
    <mergeCell ref="Q29:S30"/>
    <mergeCell ref="T29:T30"/>
    <mergeCell ref="B30:I30"/>
    <mergeCell ref="J30:L30"/>
    <mergeCell ref="N30:P30"/>
    <mergeCell ref="D27:F27"/>
    <mergeCell ref="G27:J27"/>
    <mergeCell ref="K27:M27"/>
    <mergeCell ref="N27:O27"/>
    <mergeCell ref="P27:Q27"/>
    <mergeCell ref="S27:T27"/>
    <mergeCell ref="D26:F26"/>
    <mergeCell ref="G26:J26"/>
    <mergeCell ref="K26:M26"/>
    <mergeCell ref="N26:O26"/>
    <mergeCell ref="P26:Q26"/>
    <mergeCell ref="S26:T26"/>
    <mergeCell ref="D25:F25"/>
    <mergeCell ref="G25:J25"/>
    <mergeCell ref="K25:M25"/>
    <mergeCell ref="N25:O25"/>
    <mergeCell ref="P25:Q25"/>
    <mergeCell ref="S25:T25"/>
    <mergeCell ref="D24:F24"/>
    <mergeCell ref="G24:J24"/>
    <mergeCell ref="K24:M24"/>
    <mergeCell ref="N24:O24"/>
    <mergeCell ref="P24:Q24"/>
    <mergeCell ref="S24:T24"/>
    <mergeCell ref="D23:F23"/>
    <mergeCell ref="G23:J23"/>
    <mergeCell ref="K23:M23"/>
    <mergeCell ref="N23:O23"/>
    <mergeCell ref="P23:Q23"/>
    <mergeCell ref="S23:T23"/>
    <mergeCell ref="C22:F22"/>
    <mergeCell ref="G22:J22"/>
    <mergeCell ref="K22:M22"/>
    <mergeCell ref="N22:O22"/>
    <mergeCell ref="P22:R22"/>
    <mergeCell ref="S22:T22"/>
    <mergeCell ref="A19:B21"/>
    <mergeCell ref="C19:F21"/>
    <mergeCell ref="G19:J19"/>
    <mergeCell ref="K19:N19"/>
    <mergeCell ref="O19:T19"/>
    <mergeCell ref="C16:F16"/>
    <mergeCell ref="G16:I16"/>
    <mergeCell ref="K16:M16"/>
    <mergeCell ref="O16:P16"/>
    <mergeCell ref="R16:T16"/>
    <mergeCell ref="C17:F17"/>
    <mergeCell ref="G17:I17"/>
    <mergeCell ref="K17:M17"/>
    <mergeCell ref="O17:P17"/>
    <mergeCell ref="R17:T17"/>
    <mergeCell ref="G20:J20"/>
    <mergeCell ref="K20:N20"/>
    <mergeCell ref="O20:T20"/>
    <mergeCell ref="G21:J21"/>
    <mergeCell ref="K21:N21"/>
    <mergeCell ref="O21:T21"/>
    <mergeCell ref="C18:F18"/>
    <mergeCell ref="G18:I18"/>
    <mergeCell ref="K18:M18"/>
    <mergeCell ref="R14:T14"/>
    <mergeCell ref="C15:F15"/>
    <mergeCell ref="G15:I15"/>
    <mergeCell ref="K15:M15"/>
    <mergeCell ref="O15:P15"/>
    <mergeCell ref="R15:T15"/>
    <mergeCell ref="A13:B18"/>
    <mergeCell ref="C13:F13"/>
    <mergeCell ref="G13:J13"/>
    <mergeCell ref="K13:N13"/>
    <mergeCell ref="O13:Q13"/>
    <mergeCell ref="R13:T13"/>
    <mergeCell ref="C14:F14"/>
    <mergeCell ref="G14:I14"/>
    <mergeCell ref="K14:M14"/>
    <mergeCell ref="O14:P14"/>
    <mergeCell ref="O18:P18"/>
    <mergeCell ref="R18:T18"/>
    <mergeCell ref="A11:B11"/>
    <mergeCell ref="C11:M11"/>
    <mergeCell ref="N11:P11"/>
    <mergeCell ref="Q11:T11"/>
    <mergeCell ref="A12:B12"/>
    <mergeCell ref="C12:M12"/>
    <mergeCell ref="N12:P12"/>
    <mergeCell ref="Q12:T12"/>
    <mergeCell ref="A9:B9"/>
    <mergeCell ref="C9:J9"/>
    <mergeCell ref="K9:M9"/>
    <mergeCell ref="N9:P9"/>
    <mergeCell ref="Q9:T9"/>
    <mergeCell ref="A10:B10"/>
    <mergeCell ref="C10:J10"/>
    <mergeCell ref="K10:M10"/>
    <mergeCell ref="N10:P10"/>
    <mergeCell ref="Q10:T10"/>
    <mergeCell ref="A7:B7"/>
    <mergeCell ref="C7:M7"/>
    <mergeCell ref="N7:O7"/>
    <mergeCell ref="P7:T7"/>
    <mergeCell ref="A8:B8"/>
    <mergeCell ref="D8:M8"/>
    <mergeCell ref="N8:O8"/>
    <mergeCell ref="P8:S8"/>
    <mergeCell ref="A1:T1"/>
    <mergeCell ref="A2:T2"/>
    <mergeCell ref="A3:T3"/>
    <mergeCell ref="A4:T4"/>
    <mergeCell ref="A6:M6"/>
    <mergeCell ref="P6:T6"/>
  </mergeCells>
  <phoneticPr fontId="3"/>
  <dataValidations count="5">
    <dataValidation type="list" imeMode="fullAlpha" allowBlank="1" showInputMessage="1" showErrorMessage="1" sqref="B23:B27" xr:uid="{00000000-0002-0000-0000-000000000000}">
      <formula1>"　,トラップ,スキート"</formula1>
    </dataValidation>
    <dataValidation type="list" allowBlank="1" showInputMessage="1" showErrorMessage="1" sqref="C12:M12" xr:uid="{00000000-0002-0000-0000-000001000000}">
      <formula1>"A・B・C,A・B,なし,その他"</formula1>
    </dataValidation>
    <dataValidation type="list" allowBlank="1" showInputMessage="1" showErrorMessage="1" sqref="C11:M11" xr:uid="{00000000-0002-0000-0000-000002000000}">
      <formula1>"トラップ　・　スキート,トラップ,スキート"</formula1>
    </dataValidation>
    <dataValidation imeMode="hiragana" allowBlank="1" showInputMessage="1" showErrorMessage="1" sqref="G23:J27 N23:O27 R14:R18 Q9:T12" xr:uid="{00000000-0002-0000-0000-000003000000}"/>
    <dataValidation imeMode="fullAlpha" allowBlank="1" showInputMessage="1" showErrorMessage="1" sqref="O33 C23:C27 Q29 K14:K17 P23:Q27 K23:M27 J29:J30 O14:O18 Q31:Q34" xr:uid="{00000000-0002-0000-0000-000004000000}"/>
  </dataValidations>
  <printOptions horizontalCentered="1"/>
  <pageMargins left="0.23622047244094491" right="0.23622047244094491" top="0.55118110236220474" bottom="0.35433070866141736" header="0.31496062992125984" footer="0.31496062992125984"/>
  <pageSetup paperSize="9" orientation="portrait" r:id="rId1"/>
  <headerFooter>
    <oddHeader>&amp;R&amp;"-,太字"&amp;12⑩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10JCSAルール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wako</dc:creator>
  <cp:lastModifiedBy>Mitsuhiro Matsuo</cp:lastModifiedBy>
  <cp:lastPrinted>2026-04-05T12:19:34Z</cp:lastPrinted>
  <dcterms:created xsi:type="dcterms:W3CDTF">2019-04-16T01:00:14Z</dcterms:created>
  <dcterms:modified xsi:type="dcterms:W3CDTF">2026-04-08T06:05:49Z</dcterms:modified>
</cp:coreProperties>
</file>